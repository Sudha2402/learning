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<sst xmlns="http://schemas.openxmlformats.org/spreadsheetml/2006/main" count="211" uniqueCount="84">
  <si>
    <t>SN</t>
  </si>
  <si>
    <t>NAME</t>
  </si>
  <si>
    <t>MOBILE NO</t>
  </si>
  <si>
    <t>EMAIL ID</t>
  </si>
  <si>
    <t>School</t>
  </si>
  <si>
    <t xml:space="preserve">Branch </t>
  </si>
  <si>
    <t xml:space="preserve">Sheet Name </t>
  </si>
  <si>
    <t>Update required</t>
  </si>
  <si>
    <t>Inviting to Zoom 
(yes or no)</t>
  </si>
  <si>
    <t>Type</t>
  </si>
  <si>
    <t>WhatsApp Name</t>
  </si>
  <si>
    <t>Alotted Group Name</t>
  </si>
  <si>
    <t>Status</t>
  </si>
  <si>
    <t>Updated Number</t>
  </si>
  <si>
    <t>Left Group</t>
  </si>
  <si>
    <t>New Number aDD</t>
  </si>
  <si>
    <t>SHUBHAM SINHA</t>
  </si>
  <si>
    <t>SHUBHAMSINHA29AUG@GMAIL.COM</t>
  </si>
  <si>
    <t>Kv amc2shift</t>
  </si>
  <si>
    <t>PRUTERDATA</t>
  </si>
  <si>
    <t xml:space="preserve"> </t>
  </si>
  <si>
    <t>KV-LKO-AMC</t>
  </si>
  <si>
    <t>KV-LKO-AMC Shubham Sinha</t>
  </si>
  <si>
    <t>KV-IITK-LKO-01</t>
  </si>
  <si>
    <t>Not on Whatsapp</t>
  </si>
  <si>
    <t>RUDRESH SINGH</t>
  </si>
  <si>
    <t>MP175505@GMAIL.COM</t>
  </si>
  <si>
    <t>KV-LKO-AMC Rudresh Singh</t>
  </si>
  <si>
    <t>added</t>
  </si>
  <si>
    <t>YASH MANTHAN</t>
  </si>
  <si>
    <t>220@prutor.ai</t>
  </si>
  <si>
    <t>KV-LKO-AMC Yash Manthan</t>
  </si>
  <si>
    <t>y</t>
  </si>
  <si>
    <t>JIVENDRA YADAV</t>
  </si>
  <si>
    <t>126@prutor.ai</t>
  </si>
  <si>
    <t>KV-LKO-AMC Jivendra Yadav</t>
  </si>
  <si>
    <t>LUCKY THAPA</t>
  </si>
  <si>
    <t>196@prutor.ai</t>
  </si>
  <si>
    <t>KV-LKO-AMC Lucky Thapa</t>
  </si>
  <si>
    <t>ADITYA TIWARI</t>
  </si>
  <si>
    <t>205@prutor.ai</t>
  </si>
  <si>
    <t>KV-LKO-AMC Aditya Tiwari</t>
  </si>
  <si>
    <t>ANUJ KUMAR KASHYAP</t>
  </si>
  <si>
    <t>124@prutor.ai</t>
  </si>
  <si>
    <t>KV-LKO-AMC Anuj Kumar Kashyap</t>
  </si>
  <si>
    <t>HIMANSHU PATHAK</t>
  </si>
  <si>
    <t>8423968739:-</t>
  </si>
  <si>
    <t>063@prutor.ai</t>
  </si>
  <si>
    <t>KV-LKO-AMC Himanshu Pathak</t>
  </si>
  <si>
    <t>UDAY RAJ GUPTA</t>
  </si>
  <si>
    <t>097@prutor.ai</t>
  </si>
  <si>
    <t>KV-LKO-AMC Uday Raj Gupta</t>
  </si>
  <si>
    <t>Y</t>
  </si>
  <si>
    <t>SHASHANK LAL</t>
  </si>
  <si>
    <t>001@prutor.ai</t>
  </si>
  <si>
    <t>KV-LKO-AMC Shashank Lal</t>
  </si>
  <si>
    <t>AYUSH SINGH</t>
  </si>
  <si>
    <t>073@prutor.ai</t>
  </si>
  <si>
    <t>KV-LKO-AMC Ayush Singh</t>
  </si>
  <si>
    <t>ABHISHEK TRIPATHI</t>
  </si>
  <si>
    <t>tripathi8885601737@gmail.com</t>
  </si>
  <si>
    <t>KV-LKO-AMC Abhishek Tripathi</t>
  </si>
  <si>
    <t>wrong number</t>
  </si>
  <si>
    <t>VINEETA TRIPATHI</t>
  </si>
  <si>
    <t>170@prutor.ai</t>
  </si>
  <si>
    <t>KV-LKO-AMC Vineeta Tripathi</t>
  </si>
  <si>
    <t>MOHAMMAD SAHIL KHAN</t>
  </si>
  <si>
    <t>234@prutor.ai</t>
  </si>
  <si>
    <t>KV-LKO-AMC Mohammad Sahil Khan</t>
  </si>
  <si>
    <t>ABHISHEK YADAV</t>
  </si>
  <si>
    <t>175@prutor.ai</t>
  </si>
  <si>
    <t>KV-LKO-AMC Abhishek Yadav</t>
  </si>
  <si>
    <t>D. ASHWIN</t>
  </si>
  <si>
    <t>ashwindhananjeyan08@gmail.com</t>
  </si>
  <si>
    <t>KV-LKO-AMC D. Ashwin</t>
  </si>
  <si>
    <t>AMIT KUMAR YADAV</t>
  </si>
  <si>
    <t>amityadav13112001@gmail.com</t>
  </si>
  <si>
    <t>KV-LKO-AMC Amit Kumar Yadav</t>
  </si>
  <si>
    <t>AASHUTOSH GAUTAM</t>
  </si>
  <si>
    <t>160@prutor.ai</t>
  </si>
  <si>
    <t>KV-LKO-AMC Aashutosh Gautam</t>
  </si>
  <si>
    <t>SUDHA KUMARI</t>
  </si>
  <si>
    <t>sudhakumarichauhan24@gmail.com</t>
  </si>
  <si>
    <t>KV-LKO-AMC Sudha Kumari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</si>
</sst>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color theme="1"/>
      <name val="Arial"/>
    </font>
    <font>
      <sz val="11.0"/>
      <color rgb="FF000000"/>
      <name val="Calibri"/>
    </font>
    <font>
      <sz val="11.0"/>
      <color rgb="FF000000"/>
      <name val="Docs-Calibri"/>
    </font>
  </fonts>
  <fills count="5">
    <fill>
      <patternFill patternType="none"/>
    </fill>
    <fill>
      <patternFill patternType="lightGray"/>
    </fill>
    <fill>
      <patternFill patternType="solid">
        <fgColor rgb="FFCCEADC"/>
        <bgColor rgb="FFCCEADC"/>
      </patternFill>
    </fill>
    <fill>
      <patternFill patternType="solid">
        <fgColor rgb="FFCDEADC"/>
        <bgColor rgb="FFCDEAD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0" fontId="3" numFmtId="0" xfId="0" applyFont="1"/>
    <xf borderId="1" fillId="2" fontId="3" numFmtId="0" xfId="0" applyAlignment="1" applyBorder="1" applyFill="1" applyFont="1">
      <alignment horizontal="right" readingOrder="0" vertical="top"/>
    </xf>
    <xf borderId="1" fillId="0" fontId="5" numFmtId="0" xfId="0" applyAlignment="1" applyBorder="1" applyFont="1">
      <alignment vertical="top"/>
    </xf>
    <xf borderId="1" fillId="0" fontId="5" numFmtId="0" xfId="0" applyAlignment="1" applyBorder="1" applyFont="1">
      <alignment horizontal="right" vertical="top"/>
    </xf>
    <xf borderId="1" fillId="0" fontId="3" numFmtId="0" xfId="0" applyAlignment="1" applyBorder="1" applyFont="1">
      <alignment horizontal="right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0"/>
    </xf>
    <xf borderId="1" fillId="3" fontId="3" numFmtId="0" xfId="0" applyAlignment="1" applyBorder="1" applyFill="1" applyFont="1">
      <alignment horizontal="right" readingOrder="0" vertical="top"/>
    </xf>
    <xf borderId="1" fillId="4" fontId="6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right" readingOrder="0" vertical="top"/>
    </xf>
    <xf borderId="1" fillId="0" fontId="5" numFmtId="0" xfId="0" applyAlignment="1" applyBorder="1" applyFont="1">
      <alignment readingOrder="0" vertical="top"/>
    </xf>
    <xf borderId="1" fillId="4" fontId="5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0.25"/>
    <col customWidth="1" min="3" max="3" width="10.0"/>
    <col customWidth="1" min="4" max="4" width="29.0"/>
    <col customWidth="1" min="5" max="5" width="11.13"/>
    <col customWidth="1" min="6" max="6" width="6.5"/>
    <col customWidth="1" min="7" max="7" width="10.5"/>
    <col customWidth="1" min="8" max="8" width="7.38"/>
    <col customWidth="1" min="9" max="9" width="8.88"/>
    <col customWidth="1" min="10" max="10" width="5.13"/>
    <col customWidth="1" min="11" max="11" width="7.13"/>
    <col customWidth="1" min="12" max="12" width="17.88"/>
    <col customWidth="1" min="13" max="13" width="10.5"/>
    <col customWidth="1" min="14" max="14" width="10.25"/>
    <col customWidth="1" min="15" max="15" width="27.5"/>
    <col customWidth="1" min="16" max="16" width="16.38"/>
    <col customWidth="1" min="17" max="17" width="13.75"/>
    <col customWidth="1" min="18" max="18" width="13.88"/>
    <col customWidth="1" min="19" max="19" width="8.88"/>
    <col customWidth="1" min="20" max="20" width="14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8" t="str">
        <f>if(#REF!=C1,1,0)</f>
        <v>#REF!</v>
      </c>
      <c r="K1" s="8" t="str">
        <f t="shared" ref="K1:K6" si="1">I1+J1</f>
        <v>#REF!</v>
      </c>
      <c r="L1" s="5" t="str">
        <f t="shared" ref="L1:L6" si="2">proper(B1)</f>
        <v>Name</v>
      </c>
      <c r="M1" s="5" t="str">
        <f t="shared" ref="M1:M6" si="3">proper(E1)</f>
        <v>School</v>
      </c>
      <c r="N1" s="9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10" t="s">
        <v>15</v>
      </c>
      <c r="U1" s="11"/>
      <c r="V1" s="11"/>
      <c r="W1" s="11"/>
      <c r="X1" s="11"/>
      <c r="Y1" s="11"/>
      <c r="Z1" s="11"/>
    </row>
    <row r="2">
      <c r="A2" s="12">
        <v>1.0</v>
      </c>
      <c r="B2" s="13" t="s">
        <v>16</v>
      </c>
      <c r="C2" s="14">
        <v>7.376530304E9</v>
      </c>
      <c r="D2" s="13" t="s">
        <v>17</v>
      </c>
      <c r="E2" s="5" t="s">
        <v>18</v>
      </c>
      <c r="F2" s="5"/>
      <c r="G2" s="5" t="s">
        <v>19</v>
      </c>
      <c r="H2" s="5" t="s">
        <v>20</v>
      </c>
      <c r="I2" s="5" t="s">
        <v>20</v>
      </c>
      <c r="J2" s="15">
        <f t="shared" ref="J2:J3" si="4">if(C1=C2,1,0)</f>
        <v>0</v>
      </c>
      <c r="K2" s="15" t="str">
        <f t="shared" si="1"/>
        <v>#VALUE!</v>
      </c>
      <c r="L2" s="5" t="str">
        <f t="shared" si="2"/>
        <v>Shubham Sinha</v>
      </c>
      <c r="M2" s="5" t="str">
        <f t="shared" si="3"/>
        <v>Kv Amc2Shift</v>
      </c>
      <c r="N2" s="5" t="s">
        <v>21</v>
      </c>
      <c r="O2" s="5" t="s">
        <v>22</v>
      </c>
      <c r="P2" s="16" t="s">
        <v>23</v>
      </c>
      <c r="Q2" s="17" t="s">
        <v>24</v>
      </c>
      <c r="R2" s="5"/>
      <c r="S2" s="5"/>
      <c r="T2" s="5"/>
      <c r="U2" s="11"/>
      <c r="V2" s="11"/>
      <c r="W2" s="11"/>
      <c r="X2" s="11"/>
      <c r="Y2" s="11"/>
      <c r="Z2" s="11"/>
    </row>
    <row r="3">
      <c r="A3" s="18">
        <v>2.0</v>
      </c>
      <c r="B3" s="13" t="s">
        <v>25</v>
      </c>
      <c r="C3" s="14">
        <v>7.499811668E9</v>
      </c>
      <c r="D3" s="13" t="s">
        <v>26</v>
      </c>
      <c r="E3" s="5" t="s">
        <v>18</v>
      </c>
      <c r="F3" s="5"/>
      <c r="G3" s="5" t="s">
        <v>19</v>
      </c>
      <c r="H3" s="5" t="s">
        <v>20</v>
      </c>
      <c r="I3" s="5" t="s">
        <v>20</v>
      </c>
      <c r="J3" s="15">
        <f t="shared" si="4"/>
        <v>0</v>
      </c>
      <c r="K3" s="15" t="str">
        <f t="shared" si="1"/>
        <v>#VALUE!</v>
      </c>
      <c r="L3" s="5" t="str">
        <f t="shared" si="2"/>
        <v>Rudresh Singh</v>
      </c>
      <c r="M3" s="5" t="str">
        <f t="shared" si="3"/>
        <v>Kv Amc2Shift</v>
      </c>
      <c r="N3" s="5" t="s">
        <v>21</v>
      </c>
      <c r="O3" s="5" t="s">
        <v>27</v>
      </c>
      <c r="P3" s="16" t="s">
        <v>23</v>
      </c>
      <c r="Q3" s="19" t="s">
        <v>28</v>
      </c>
      <c r="R3" s="5"/>
      <c r="S3" s="5"/>
      <c r="T3" s="5"/>
      <c r="U3" s="11"/>
      <c r="V3" s="11"/>
      <c r="W3" s="11"/>
      <c r="X3" s="11"/>
      <c r="Y3" s="11"/>
      <c r="Z3" s="11"/>
    </row>
    <row r="4">
      <c r="A4" s="18">
        <v>6.0</v>
      </c>
      <c r="B4" s="13" t="s">
        <v>29</v>
      </c>
      <c r="C4" s="14">
        <v>9.839574581E9</v>
      </c>
      <c r="D4" s="13" t="s">
        <v>30</v>
      </c>
      <c r="E4" s="5" t="s">
        <v>18</v>
      </c>
      <c r="F4" s="5"/>
      <c r="G4" s="5" t="s">
        <v>19</v>
      </c>
      <c r="H4" s="5" t="s">
        <v>20</v>
      </c>
      <c r="I4" s="5" t="s">
        <v>20</v>
      </c>
      <c r="J4" s="15" t="str">
        <f>if(#REF!=C4,1,0)</f>
        <v>#REF!</v>
      </c>
      <c r="K4" s="15" t="str">
        <f t="shared" si="1"/>
        <v>#REF!</v>
      </c>
      <c r="L4" s="5" t="str">
        <f t="shared" si="2"/>
        <v>Yash Manthan</v>
      </c>
      <c r="M4" s="5" t="str">
        <f t="shared" si="3"/>
        <v>Kv Amc2Shift</v>
      </c>
      <c r="N4" s="5" t="s">
        <v>21</v>
      </c>
      <c r="O4" s="5" t="s">
        <v>31</v>
      </c>
      <c r="P4" s="16" t="s">
        <v>23</v>
      </c>
      <c r="Q4" s="19" t="s">
        <v>28</v>
      </c>
      <c r="R4" s="5"/>
      <c r="S4" s="5" t="s">
        <v>32</v>
      </c>
      <c r="T4" s="5"/>
      <c r="U4" s="11"/>
      <c r="V4" s="11"/>
      <c r="W4" s="11"/>
      <c r="X4" s="11"/>
      <c r="Y4" s="11"/>
      <c r="Z4" s="11"/>
    </row>
    <row r="5">
      <c r="A5" s="12">
        <v>7.0</v>
      </c>
      <c r="B5" s="13" t="s">
        <v>33</v>
      </c>
      <c r="C5" s="14">
        <v>9.369340303E9</v>
      </c>
      <c r="D5" s="13" t="s">
        <v>34</v>
      </c>
      <c r="E5" s="5" t="s">
        <v>18</v>
      </c>
      <c r="F5" s="5"/>
      <c r="G5" s="5" t="s">
        <v>19</v>
      </c>
      <c r="H5" s="5" t="s">
        <v>20</v>
      </c>
      <c r="I5" s="5" t="s">
        <v>20</v>
      </c>
      <c r="J5" s="15">
        <f t="shared" ref="J5:J6" si="5">if(C4=C5,1,0)</f>
        <v>0</v>
      </c>
      <c r="K5" s="15" t="str">
        <f t="shared" si="1"/>
        <v>#VALUE!</v>
      </c>
      <c r="L5" s="5" t="str">
        <f t="shared" si="2"/>
        <v>Jivendra Yadav</v>
      </c>
      <c r="M5" s="5" t="str">
        <f t="shared" si="3"/>
        <v>Kv Amc2Shift</v>
      </c>
      <c r="N5" s="5" t="s">
        <v>21</v>
      </c>
      <c r="O5" s="5" t="s">
        <v>35</v>
      </c>
      <c r="P5" s="16" t="s">
        <v>23</v>
      </c>
      <c r="Q5" s="17" t="s">
        <v>24</v>
      </c>
      <c r="R5" s="5"/>
      <c r="S5" s="5"/>
      <c r="T5" s="5"/>
      <c r="U5" s="11"/>
      <c r="V5" s="11"/>
      <c r="W5" s="11"/>
      <c r="X5" s="11"/>
      <c r="Y5" s="11"/>
      <c r="Z5" s="11"/>
    </row>
    <row r="6">
      <c r="A6" s="18">
        <v>8.0</v>
      </c>
      <c r="B6" s="13" t="s">
        <v>36</v>
      </c>
      <c r="C6" s="14">
        <v>9.648922986E9</v>
      </c>
      <c r="D6" s="13" t="s">
        <v>37</v>
      </c>
      <c r="E6" s="5" t="s">
        <v>18</v>
      </c>
      <c r="F6" s="5"/>
      <c r="G6" s="5" t="s">
        <v>19</v>
      </c>
      <c r="H6" s="5" t="s">
        <v>20</v>
      </c>
      <c r="I6" s="5" t="s">
        <v>20</v>
      </c>
      <c r="J6" s="15">
        <f t="shared" si="5"/>
        <v>0</v>
      </c>
      <c r="K6" s="15" t="str">
        <f t="shared" si="1"/>
        <v>#VALUE!</v>
      </c>
      <c r="L6" s="5" t="str">
        <f t="shared" si="2"/>
        <v>Lucky Thapa</v>
      </c>
      <c r="M6" s="5" t="str">
        <f t="shared" si="3"/>
        <v>Kv Amc2Shift</v>
      </c>
      <c r="N6" s="5" t="s">
        <v>21</v>
      </c>
      <c r="O6" s="5" t="s">
        <v>38</v>
      </c>
      <c r="P6" s="16" t="s">
        <v>23</v>
      </c>
      <c r="Q6" s="19" t="s">
        <v>28</v>
      </c>
      <c r="R6" s="5"/>
      <c r="S6" s="5"/>
      <c r="T6" s="5"/>
      <c r="U6" s="11"/>
      <c r="V6" s="11"/>
      <c r="W6" s="11"/>
      <c r="X6" s="11"/>
      <c r="Y6" s="11"/>
      <c r="Z6" s="11"/>
    </row>
    <row r="7">
      <c r="A7" s="18"/>
      <c r="B7" s="20"/>
      <c r="C7" s="14"/>
      <c r="D7" s="13"/>
      <c r="E7" s="5"/>
      <c r="F7" s="5"/>
      <c r="G7" s="5"/>
      <c r="H7" s="5"/>
      <c r="I7" s="5"/>
      <c r="J7" s="15"/>
      <c r="K7" s="15"/>
      <c r="L7" s="5"/>
      <c r="M7" s="5"/>
      <c r="N7" s="5"/>
      <c r="O7" s="5"/>
      <c r="P7" s="16"/>
      <c r="Q7" s="19"/>
      <c r="R7" s="5"/>
      <c r="S7" s="5"/>
      <c r="T7" s="5"/>
      <c r="U7" s="11"/>
      <c r="V7" s="11"/>
      <c r="W7" s="11"/>
      <c r="X7" s="11"/>
      <c r="Y7" s="11"/>
      <c r="Z7" s="11"/>
    </row>
    <row r="8">
      <c r="A8" s="18">
        <v>11.0</v>
      </c>
      <c r="B8" s="13" t="s">
        <v>39</v>
      </c>
      <c r="C8" s="14">
        <v>9.721362264E9</v>
      </c>
      <c r="D8" s="13" t="s">
        <v>40</v>
      </c>
      <c r="E8" s="5" t="s">
        <v>18</v>
      </c>
      <c r="F8" s="5"/>
      <c r="G8" s="5" t="s">
        <v>19</v>
      </c>
      <c r="H8" s="5" t="s">
        <v>20</v>
      </c>
      <c r="I8" s="5" t="s">
        <v>20</v>
      </c>
      <c r="J8" s="15" t="str">
        <f>if(#REF!=C8,1,0)</f>
        <v>#REF!</v>
      </c>
      <c r="K8" s="15" t="str">
        <f t="shared" ref="K8:K11" si="6">I8+J8</f>
        <v>#REF!</v>
      </c>
      <c r="L8" s="5" t="str">
        <f t="shared" ref="L8:L17" si="7">proper(B8)</f>
        <v>Aditya Tiwari</v>
      </c>
      <c r="M8" s="5" t="str">
        <f t="shared" ref="M8:M17" si="8">proper(E8)</f>
        <v>Kv Amc2Shift</v>
      </c>
      <c r="N8" s="5" t="s">
        <v>21</v>
      </c>
      <c r="O8" s="5" t="s">
        <v>41</v>
      </c>
      <c r="P8" s="16" t="s">
        <v>23</v>
      </c>
      <c r="Q8" s="17" t="s">
        <v>24</v>
      </c>
      <c r="R8" s="5"/>
      <c r="S8" s="5"/>
      <c r="T8" s="5"/>
      <c r="U8" s="11"/>
      <c r="V8" s="11"/>
      <c r="W8" s="11"/>
      <c r="X8" s="11"/>
      <c r="Y8" s="11"/>
      <c r="Z8" s="11"/>
    </row>
    <row r="9">
      <c r="A9" s="18">
        <v>12.0</v>
      </c>
      <c r="B9" s="13" t="s">
        <v>42</v>
      </c>
      <c r="C9" s="14">
        <v>9.336920776E9</v>
      </c>
      <c r="D9" s="13" t="s">
        <v>43</v>
      </c>
      <c r="E9" s="5" t="s">
        <v>18</v>
      </c>
      <c r="F9" s="5"/>
      <c r="G9" s="5" t="s">
        <v>19</v>
      </c>
      <c r="H9" s="5" t="s">
        <v>20</v>
      </c>
      <c r="I9" s="5" t="s">
        <v>20</v>
      </c>
      <c r="J9" s="15">
        <f t="shared" ref="J9:J11" si="9">if(C8=C9,1,0)</f>
        <v>0</v>
      </c>
      <c r="K9" s="15" t="str">
        <f t="shared" si="6"/>
        <v>#VALUE!</v>
      </c>
      <c r="L9" s="5" t="str">
        <f t="shared" si="7"/>
        <v>Anuj Kumar Kashyap</v>
      </c>
      <c r="M9" s="5" t="str">
        <f t="shared" si="8"/>
        <v>Kv Amc2Shift</v>
      </c>
      <c r="N9" s="5" t="s">
        <v>21</v>
      </c>
      <c r="O9" s="5" t="s">
        <v>44</v>
      </c>
      <c r="P9" s="16" t="s">
        <v>23</v>
      </c>
      <c r="Q9" s="19" t="s">
        <v>28</v>
      </c>
      <c r="R9" s="5"/>
      <c r="S9" s="5"/>
      <c r="T9" s="5"/>
      <c r="U9" s="11"/>
      <c r="V9" s="11"/>
      <c r="W9" s="11"/>
      <c r="X9" s="11"/>
      <c r="Y9" s="11"/>
      <c r="Z9" s="11"/>
    </row>
    <row r="10">
      <c r="A10" s="12">
        <v>13.0</v>
      </c>
      <c r="B10" s="13" t="s">
        <v>45</v>
      </c>
      <c r="C10" s="21" t="s">
        <v>46</v>
      </c>
      <c r="D10" s="13" t="s">
        <v>47</v>
      </c>
      <c r="E10" s="5" t="s">
        <v>18</v>
      </c>
      <c r="F10" s="5"/>
      <c r="G10" s="5" t="s">
        <v>19</v>
      </c>
      <c r="H10" s="5" t="s">
        <v>20</v>
      </c>
      <c r="I10" s="5" t="s">
        <v>20</v>
      </c>
      <c r="J10" s="15">
        <f t="shared" si="9"/>
        <v>0</v>
      </c>
      <c r="K10" s="15" t="str">
        <f t="shared" si="6"/>
        <v>#VALUE!</v>
      </c>
      <c r="L10" s="5" t="str">
        <f t="shared" si="7"/>
        <v>Himanshu Pathak</v>
      </c>
      <c r="M10" s="5" t="str">
        <f t="shared" si="8"/>
        <v>Kv Amc2Shift</v>
      </c>
      <c r="N10" s="5" t="s">
        <v>21</v>
      </c>
      <c r="O10" s="5" t="s">
        <v>48</v>
      </c>
      <c r="P10" s="16" t="s">
        <v>23</v>
      </c>
      <c r="Q10" s="17" t="s">
        <v>24</v>
      </c>
      <c r="R10" s="5"/>
      <c r="S10" s="5"/>
      <c r="T10" s="5"/>
      <c r="U10" s="11"/>
      <c r="V10" s="11"/>
      <c r="W10" s="11"/>
      <c r="X10" s="11"/>
      <c r="Y10" s="11"/>
      <c r="Z10" s="11"/>
    </row>
    <row r="11">
      <c r="A11" s="18">
        <v>14.0</v>
      </c>
      <c r="B11" s="13" t="s">
        <v>49</v>
      </c>
      <c r="C11" s="14">
        <v>8.957410018E9</v>
      </c>
      <c r="D11" s="13" t="s">
        <v>50</v>
      </c>
      <c r="E11" s="5" t="s">
        <v>18</v>
      </c>
      <c r="F11" s="5"/>
      <c r="G11" s="5" t="s">
        <v>19</v>
      </c>
      <c r="H11" s="5" t="s">
        <v>20</v>
      </c>
      <c r="I11" s="5" t="s">
        <v>20</v>
      </c>
      <c r="J11" s="15">
        <f t="shared" si="9"/>
        <v>0</v>
      </c>
      <c r="K11" s="15" t="str">
        <f t="shared" si="6"/>
        <v>#VALUE!</v>
      </c>
      <c r="L11" s="5" t="str">
        <f t="shared" si="7"/>
        <v>Uday Raj Gupta</v>
      </c>
      <c r="M11" s="5" t="str">
        <f t="shared" si="8"/>
        <v>Kv Amc2Shift</v>
      </c>
      <c r="N11" s="5" t="s">
        <v>21</v>
      </c>
      <c r="O11" s="5" t="s">
        <v>51</v>
      </c>
      <c r="P11" s="16" t="s">
        <v>23</v>
      </c>
      <c r="Q11" s="19" t="s">
        <v>28</v>
      </c>
      <c r="R11" s="5"/>
      <c r="S11" s="5" t="s">
        <v>52</v>
      </c>
      <c r="T11" s="5"/>
      <c r="U11" s="11"/>
      <c r="V11" s="11"/>
      <c r="W11" s="11"/>
      <c r="X11" s="11"/>
      <c r="Y11" s="11"/>
      <c r="Z11" s="11"/>
    </row>
    <row r="12">
      <c r="A12" s="18">
        <v>15.0</v>
      </c>
      <c r="B12" s="13" t="s">
        <v>53</v>
      </c>
      <c r="C12" s="14">
        <v>8.93296718E8</v>
      </c>
      <c r="D12" s="13" t="s">
        <v>54</v>
      </c>
      <c r="E12" s="5" t="s">
        <v>18</v>
      </c>
      <c r="F12" s="5"/>
      <c r="G12" s="5" t="s">
        <v>19</v>
      </c>
      <c r="H12" s="5" t="s">
        <v>20</v>
      </c>
      <c r="I12" s="5" t="s">
        <v>20</v>
      </c>
      <c r="J12" s="8" t="str">
        <f>if(#REF!=C12,1,0)</f>
        <v>#REF!</v>
      </c>
      <c r="K12" s="5"/>
      <c r="L12" s="5" t="str">
        <f t="shared" si="7"/>
        <v>Shashank Lal</v>
      </c>
      <c r="M12" s="5" t="str">
        <f t="shared" si="8"/>
        <v>Kv Amc2Shift</v>
      </c>
      <c r="N12" s="5" t="s">
        <v>21</v>
      </c>
      <c r="O12" s="5" t="s">
        <v>55</v>
      </c>
      <c r="P12" s="16" t="s">
        <v>23</v>
      </c>
      <c r="Q12" s="17" t="s">
        <v>24</v>
      </c>
      <c r="R12" s="5"/>
      <c r="S12" s="5"/>
      <c r="T12" s="5"/>
      <c r="U12" s="11"/>
      <c r="V12" s="11"/>
      <c r="W12" s="11"/>
      <c r="X12" s="11"/>
      <c r="Y12" s="11"/>
      <c r="Z12" s="11"/>
    </row>
    <row r="13">
      <c r="A13" s="12">
        <v>16.0</v>
      </c>
      <c r="B13" s="13" t="s">
        <v>56</v>
      </c>
      <c r="C13" s="14">
        <v>8.604331719E9</v>
      </c>
      <c r="D13" s="13" t="s">
        <v>57</v>
      </c>
      <c r="E13" s="5" t="s">
        <v>18</v>
      </c>
      <c r="F13" s="5"/>
      <c r="G13" s="5" t="s">
        <v>19</v>
      </c>
      <c r="H13" s="5" t="s">
        <v>20</v>
      </c>
      <c r="I13" s="5" t="s">
        <v>20</v>
      </c>
      <c r="J13" s="15">
        <f>if(C12=C13,1,0)</f>
        <v>0</v>
      </c>
      <c r="K13" s="15" t="str">
        <f t="shared" ref="K13:K17" si="10">I13+J13</f>
        <v>#VALUE!</v>
      </c>
      <c r="L13" s="5" t="str">
        <f t="shared" si="7"/>
        <v>Ayush Singh</v>
      </c>
      <c r="M13" s="5" t="str">
        <f t="shared" si="8"/>
        <v>Kv Amc2Shift</v>
      </c>
      <c r="N13" s="5" t="s">
        <v>21</v>
      </c>
      <c r="O13" s="5" t="s">
        <v>58</v>
      </c>
      <c r="P13" s="16" t="s">
        <v>23</v>
      </c>
      <c r="Q13" s="19" t="s">
        <v>28</v>
      </c>
      <c r="R13" s="5"/>
      <c r="S13" s="5"/>
      <c r="T13" s="5"/>
      <c r="U13" s="11"/>
      <c r="V13" s="11"/>
      <c r="W13" s="11"/>
      <c r="X13" s="11"/>
      <c r="Y13" s="11"/>
      <c r="Z13" s="11"/>
    </row>
    <row r="14">
      <c r="A14" s="18">
        <v>18.0</v>
      </c>
      <c r="B14" s="13" t="s">
        <v>59</v>
      </c>
      <c r="C14" s="21">
        <v>9.628642674E9</v>
      </c>
      <c r="D14" s="22" t="s">
        <v>60</v>
      </c>
      <c r="E14" s="5" t="s">
        <v>18</v>
      </c>
      <c r="F14" s="5"/>
      <c r="G14" s="5" t="s">
        <v>19</v>
      </c>
      <c r="H14" s="5" t="s">
        <v>20</v>
      </c>
      <c r="I14" s="5" t="s">
        <v>20</v>
      </c>
      <c r="J14" s="15" t="str">
        <f>if(#REF!=C14,1,0)</f>
        <v>#REF!</v>
      </c>
      <c r="K14" s="15" t="str">
        <f t="shared" si="10"/>
        <v>#REF!</v>
      </c>
      <c r="L14" s="5" t="str">
        <f t="shared" si="7"/>
        <v>Abhishek Tripathi</v>
      </c>
      <c r="M14" s="5" t="str">
        <f t="shared" si="8"/>
        <v>Kv Amc2Shift</v>
      </c>
      <c r="N14" s="5" t="s">
        <v>21</v>
      </c>
      <c r="O14" s="5" t="s">
        <v>61</v>
      </c>
      <c r="P14" s="16" t="s">
        <v>23</v>
      </c>
      <c r="Q14" s="23" t="s">
        <v>62</v>
      </c>
      <c r="R14" s="5"/>
      <c r="S14" s="5"/>
      <c r="T14" s="5"/>
      <c r="U14" s="11"/>
      <c r="V14" s="11"/>
      <c r="W14" s="11"/>
      <c r="X14" s="11"/>
      <c r="Y14" s="11"/>
      <c r="Z14" s="11"/>
    </row>
    <row r="15">
      <c r="A15" s="12">
        <v>19.0</v>
      </c>
      <c r="B15" s="13" t="s">
        <v>63</v>
      </c>
      <c r="C15" s="14">
        <v>9.457243357E9</v>
      </c>
      <c r="D15" s="13" t="s">
        <v>64</v>
      </c>
      <c r="E15" s="5" t="s">
        <v>18</v>
      </c>
      <c r="F15" s="5"/>
      <c r="G15" s="5" t="s">
        <v>19</v>
      </c>
      <c r="H15" s="5" t="s">
        <v>20</v>
      </c>
      <c r="I15" s="5" t="s">
        <v>20</v>
      </c>
      <c r="J15" s="15">
        <f>if(C14=C15,1,0)</f>
        <v>0</v>
      </c>
      <c r="K15" s="15" t="str">
        <f t="shared" si="10"/>
        <v>#VALUE!</v>
      </c>
      <c r="L15" s="5" t="str">
        <f t="shared" si="7"/>
        <v>Vineeta Tripathi</v>
      </c>
      <c r="M15" s="5" t="str">
        <f t="shared" si="8"/>
        <v>Kv Amc2Shift</v>
      </c>
      <c r="N15" s="5" t="s">
        <v>21</v>
      </c>
      <c r="O15" s="5" t="s">
        <v>65</v>
      </c>
      <c r="P15" s="16" t="s">
        <v>23</v>
      </c>
      <c r="Q15" s="19" t="s">
        <v>28</v>
      </c>
      <c r="R15" s="5"/>
      <c r="S15" s="5" t="s">
        <v>32</v>
      </c>
      <c r="T15" s="5"/>
      <c r="U15" s="11"/>
      <c r="V15" s="11"/>
      <c r="W15" s="11"/>
      <c r="X15" s="11"/>
      <c r="Y15" s="11"/>
      <c r="Z15" s="11"/>
    </row>
    <row r="16">
      <c r="A16" s="18">
        <v>21.0</v>
      </c>
      <c r="B16" s="13" t="s">
        <v>66</v>
      </c>
      <c r="C16" s="14">
        <v>9.999999999E9</v>
      </c>
      <c r="D16" s="13" t="s">
        <v>67</v>
      </c>
      <c r="E16" s="5" t="s">
        <v>18</v>
      </c>
      <c r="F16" s="5"/>
      <c r="G16" s="5" t="s">
        <v>19</v>
      </c>
      <c r="H16" s="5" t="s">
        <v>20</v>
      </c>
      <c r="I16" s="5" t="s">
        <v>20</v>
      </c>
      <c r="J16" s="15" t="str">
        <f>if(#REF!=C16,1,0)</f>
        <v>#REF!</v>
      </c>
      <c r="K16" s="15" t="str">
        <f t="shared" si="10"/>
        <v>#REF!</v>
      </c>
      <c r="L16" s="5" t="str">
        <f t="shared" si="7"/>
        <v>Mohammad Sahil Khan</v>
      </c>
      <c r="M16" s="5" t="str">
        <f t="shared" si="8"/>
        <v>Kv Amc2Shift</v>
      </c>
      <c r="N16" s="5" t="s">
        <v>21</v>
      </c>
      <c r="O16" s="5" t="s">
        <v>68</v>
      </c>
      <c r="P16" s="16" t="s">
        <v>23</v>
      </c>
      <c r="Q16" s="17" t="s">
        <v>24</v>
      </c>
      <c r="R16" s="5"/>
      <c r="S16" s="5"/>
      <c r="T16" s="5"/>
      <c r="U16" s="11"/>
      <c r="V16" s="11"/>
      <c r="W16" s="11"/>
      <c r="X16" s="11"/>
      <c r="Y16" s="11"/>
      <c r="Z16" s="11"/>
    </row>
    <row r="17">
      <c r="A17" s="12">
        <v>22.0</v>
      </c>
      <c r="B17" s="13" t="s">
        <v>69</v>
      </c>
      <c r="C17" s="14">
        <v>9.501769846E9</v>
      </c>
      <c r="D17" s="13" t="s">
        <v>70</v>
      </c>
      <c r="E17" s="5" t="s">
        <v>18</v>
      </c>
      <c r="F17" s="5"/>
      <c r="G17" s="5" t="s">
        <v>19</v>
      </c>
      <c r="H17" s="5" t="s">
        <v>20</v>
      </c>
      <c r="I17" s="5" t="s">
        <v>20</v>
      </c>
      <c r="J17" s="15">
        <f>if(C16=C17,1,0)</f>
        <v>0</v>
      </c>
      <c r="K17" s="15" t="str">
        <f t="shared" si="10"/>
        <v>#VALUE!</v>
      </c>
      <c r="L17" s="5" t="str">
        <f t="shared" si="7"/>
        <v>Abhishek Yadav</v>
      </c>
      <c r="M17" s="5" t="str">
        <f t="shared" si="8"/>
        <v>Kv Amc2Shift</v>
      </c>
      <c r="N17" s="5" t="s">
        <v>21</v>
      </c>
      <c r="O17" s="5" t="s">
        <v>71</v>
      </c>
      <c r="P17" s="16" t="s">
        <v>23</v>
      </c>
      <c r="Q17" s="19" t="s">
        <v>28</v>
      </c>
      <c r="R17" s="5"/>
      <c r="S17" s="5"/>
      <c r="T17" s="5"/>
      <c r="U17" s="11"/>
      <c r="V17" s="11"/>
      <c r="W17" s="11"/>
      <c r="X17" s="11"/>
      <c r="Y17" s="11"/>
      <c r="Z17" s="11"/>
    </row>
    <row r="18">
      <c r="A18" s="18"/>
      <c r="B18" s="13"/>
      <c r="C18" s="14"/>
      <c r="D18" s="13"/>
      <c r="E18" s="5"/>
      <c r="F18" s="5"/>
      <c r="G18" s="5"/>
      <c r="H18" s="5"/>
      <c r="I18" s="5"/>
      <c r="J18" s="15"/>
      <c r="K18" s="15"/>
      <c r="L18" s="5"/>
      <c r="M18" s="5"/>
      <c r="N18" s="5"/>
      <c r="O18" s="5"/>
      <c r="P18" s="16"/>
      <c r="Q18" s="19"/>
      <c r="R18" s="5"/>
      <c r="S18" s="5"/>
      <c r="T18" s="5"/>
      <c r="U18" s="11"/>
      <c r="V18" s="11"/>
      <c r="W18" s="11"/>
      <c r="X18" s="11"/>
      <c r="Y18" s="11"/>
      <c r="Z18" s="11"/>
    </row>
    <row r="19">
      <c r="A19" s="18"/>
      <c r="B19" s="13"/>
      <c r="C19" s="14"/>
      <c r="D19" s="13"/>
      <c r="E19" s="5"/>
      <c r="F19" s="5"/>
      <c r="G19" s="5"/>
      <c r="H19" s="5"/>
      <c r="I19" s="5"/>
      <c r="J19" s="15"/>
      <c r="K19" s="15"/>
      <c r="L19" s="5"/>
      <c r="M19" s="5"/>
      <c r="N19" s="5"/>
      <c r="O19" s="5"/>
      <c r="P19" s="16"/>
      <c r="Q19" s="17"/>
      <c r="R19" s="5"/>
      <c r="S19" s="5"/>
      <c r="T19" s="5"/>
      <c r="U19" s="11"/>
      <c r="V19" s="11"/>
      <c r="W19" s="11"/>
      <c r="X19" s="11"/>
      <c r="Y19" s="11"/>
      <c r="Z19" s="11"/>
    </row>
    <row r="20">
      <c r="A20" s="12"/>
      <c r="B20" s="13"/>
      <c r="C20" s="14"/>
      <c r="D20" s="13"/>
      <c r="E20" s="5"/>
      <c r="F20" s="5"/>
      <c r="G20" s="5"/>
      <c r="H20" s="5"/>
      <c r="I20" s="5"/>
      <c r="J20" s="15"/>
      <c r="K20" s="15"/>
      <c r="L20" s="5"/>
      <c r="M20" s="5"/>
      <c r="N20" s="5"/>
      <c r="O20" s="5"/>
      <c r="P20" s="16"/>
      <c r="Q20" s="16"/>
      <c r="R20" s="5"/>
      <c r="S20" s="5"/>
      <c r="T20" s="5"/>
      <c r="U20" s="11"/>
      <c r="V20" s="11"/>
      <c r="W20" s="11"/>
      <c r="X20" s="11"/>
      <c r="Y20" s="11"/>
      <c r="Z20" s="11"/>
    </row>
    <row r="21">
      <c r="A21" s="18"/>
      <c r="B21" s="13"/>
      <c r="C21" s="14"/>
      <c r="D21" s="22"/>
      <c r="E21" s="5"/>
      <c r="F21" s="5"/>
      <c r="G21" s="5"/>
      <c r="H21" s="5"/>
      <c r="I21" s="5"/>
      <c r="J21" s="15"/>
      <c r="K21" s="15"/>
      <c r="L21" s="5"/>
      <c r="M21" s="5"/>
      <c r="N21" s="5"/>
      <c r="O21" s="5"/>
      <c r="P21" s="16"/>
      <c r="Q21" s="16"/>
      <c r="R21" s="5"/>
      <c r="S21" s="5"/>
      <c r="T21" s="5"/>
      <c r="U21" s="11"/>
      <c r="V21" s="11"/>
      <c r="W21" s="11"/>
      <c r="X21" s="11"/>
      <c r="Y21" s="11"/>
      <c r="Z21" s="11"/>
    </row>
    <row r="22">
      <c r="A22" s="18">
        <v>27.0</v>
      </c>
      <c r="B22" s="13" t="s">
        <v>72</v>
      </c>
      <c r="C22" s="13">
        <v>8.249397673E9</v>
      </c>
      <c r="D22" s="13" t="s">
        <v>73</v>
      </c>
      <c r="E22" s="5" t="s">
        <v>18</v>
      </c>
      <c r="F22" s="5"/>
      <c r="G22" s="5" t="s">
        <v>19</v>
      </c>
      <c r="H22" s="5" t="s">
        <v>20</v>
      </c>
      <c r="I22" s="5" t="s">
        <v>20</v>
      </c>
      <c r="J22" s="15">
        <f t="shared" ref="J22:J25" si="11">if(C21=C22,1,0)</f>
        <v>0</v>
      </c>
      <c r="K22" s="15" t="str">
        <f t="shared" ref="K22:K25" si="12">I22+J22</f>
        <v>#VALUE!</v>
      </c>
      <c r="L22" s="5" t="str">
        <f t="shared" ref="L22:L25" si="13">proper(B22)</f>
        <v>D. Ashwin</v>
      </c>
      <c r="M22" s="5" t="str">
        <f t="shared" ref="M22:M25" si="14">proper(E22)</f>
        <v>Kv Amc2Shift</v>
      </c>
      <c r="N22" s="5" t="s">
        <v>21</v>
      </c>
      <c r="O22" s="5" t="s">
        <v>74</v>
      </c>
      <c r="P22" s="16" t="s">
        <v>23</v>
      </c>
      <c r="Q22" s="17" t="s">
        <v>24</v>
      </c>
      <c r="R22" s="5"/>
      <c r="S22" s="5"/>
      <c r="T22" s="5"/>
      <c r="U22" s="11"/>
      <c r="V22" s="11"/>
      <c r="W22" s="11"/>
      <c r="X22" s="11"/>
      <c r="Y22" s="11"/>
      <c r="Z22" s="11"/>
    </row>
    <row r="23">
      <c r="A23" s="12">
        <v>28.0</v>
      </c>
      <c r="B23" s="13" t="s">
        <v>75</v>
      </c>
      <c r="C23" s="14">
        <v>9.455757921E9</v>
      </c>
      <c r="D23" s="13" t="s">
        <v>76</v>
      </c>
      <c r="E23" s="5" t="s">
        <v>18</v>
      </c>
      <c r="F23" s="5"/>
      <c r="G23" s="5" t="s">
        <v>19</v>
      </c>
      <c r="H23" s="5" t="s">
        <v>20</v>
      </c>
      <c r="I23" s="5" t="s">
        <v>20</v>
      </c>
      <c r="J23" s="15">
        <f t="shared" si="11"/>
        <v>0</v>
      </c>
      <c r="K23" s="15" t="str">
        <f t="shared" si="12"/>
        <v>#VALUE!</v>
      </c>
      <c r="L23" s="5" t="str">
        <f t="shared" si="13"/>
        <v>Amit Kumar Yadav</v>
      </c>
      <c r="M23" s="5" t="str">
        <f t="shared" si="14"/>
        <v>Kv Amc2Shift</v>
      </c>
      <c r="N23" s="5" t="s">
        <v>21</v>
      </c>
      <c r="O23" s="5" t="s">
        <v>77</v>
      </c>
      <c r="P23" s="16" t="s">
        <v>23</v>
      </c>
      <c r="Q23" s="16" t="s">
        <v>28</v>
      </c>
      <c r="R23" s="5"/>
      <c r="S23" s="5" t="s">
        <v>52</v>
      </c>
      <c r="T23" s="5"/>
      <c r="U23" s="11"/>
      <c r="V23" s="11"/>
      <c r="W23" s="11"/>
      <c r="X23" s="11"/>
      <c r="Y23" s="11"/>
      <c r="Z23" s="11"/>
    </row>
    <row r="24">
      <c r="A24" s="18">
        <v>29.0</v>
      </c>
      <c r="B24" s="13" t="s">
        <v>78</v>
      </c>
      <c r="C24" s="14">
        <v>9.454188906E9</v>
      </c>
      <c r="D24" s="13" t="s">
        <v>79</v>
      </c>
      <c r="E24" s="5" t="s">
        <v>18</v>
      </c>
      <c r="F24" s="5"/>
      <c r="G24" s="5" t="s">
        <v>19</v>
      </c>
      <c r="H24" s="5" t="s">
        <v>20</v>
      </c>
      <c r="I24" s="5" t="s">
        <v>20</v>
      </c>
      <c r="J24" s="15">
        <f t="shared" si="11"/>
        <v>0</v>
      </c>
      <c r="K24" s="15" t="str">
        <f t="shared" si="12"/>
        <v>#VALUE!</v>
      </c>
      <c r="L24" s="5" t="str">
        <f t="shared" si="13"/>
        <v>Aashutosh Gautam</v>
      </c>
      <c r="M24" s="5" t="str">
        <f t="shared" si="14"/>
        <v>Kv Amc2Shift</v>
      </c>
      <c r="N24" s="5" t="s">
        <v>21</v>
      </c>
      <c r="O24" s="5" t="s">
        <v>80</v>
      </c>
      <c r="P24" s="16" t="s">
        <v>23</v>
      </c>
      <c r="Q24" s="17" t="s">
        <v>24</v>
      </c>
      <c r="R24" s="5"/>
      <c r="S24" s="5"/>
      <c r="T24" s="5"/>
      <c r="U24" s="11"/>
      <c r="V24" s="11"/>
      <c r="W24" s="11"/>
      <c r="X24" s="11"/>
      <c r="Y24" s="11"/>
      <c r="Z24" s="11"/>
    </row>
    <row r="25">
      <c r="A25" s="18">
        <v>30.0</v>
      </c>
      <c r="B25" s="13" t="s">
        <v>81</v>
      </c>
      <c r="C25" s="14">
        <v>9.305483852E9</v>
      </c>
      <c r="D25" s="13" t="s">
        <v>82</v>
      </c>
      <c r="E25" s="5" t="s">
        <v>18</v>
      </c>
      <c r="F25" s="5"/>
      <c r="G25" s="5" t="s">
        <v>19</v>
      </c>
      <c r="H25" s="5" t="s">
        <v>20</v>
      </c>
      <c r="I25" s="5" t="s">
        <v>20</v>
      </c>
      <c r="J25" s="15">
        <f t="shared" si="11"/>
        <v>0</v>
      </c>
      <c r="K25" s="15" t="str">
        <f t="shared" si="12"/>
        <v>#VALUE!</v>
      </c>
      <c r="L25" s="5" t="str">
        <f t="shared" si="13"/>
        <v>Sudha Kumari</v>
      </c>
      <c r="M25" s="5" t="str">
        <f t="shared" si="14"/>
        <v>Kv Amc2Shift</v>
      </c>
      <c r="N25" s="5" t="s">
        <v>21</v>
      </c>
      <c r="O25" s="5" t="s">
        <v>83</v>
      </c>
      <c r="P25" s="16" t="s">
        <v>23</v>
      </c>
      <c r="Q25" s="16" t="s">
        <v>28</v>
      </c>
      <c r="R25" s="5"/>
      <c r="S25" s="5"/>
      <c r="T25" s="5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24"/>
      <c r="I26" s="24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24"/>
      <c r="I27" s="24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24"/>
      <c r="I28" s="24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24"/>
      <c r="I29" s="24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24"/>
      <c r="I30" s="24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24"/>
      <c r="I31" s="24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24"/>
      <c r="I32" s="24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24"/>
      <c r="I33" s="24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24"/>
      <c r="I34" s="24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24"/>
      <c r="I35" s="24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24"/>
      <c r="I36" s="24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24"/>
      <c r="I37" s="24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24"/>
      <c r="I38" s="24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24"/>
      <c r="I39" s="24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24"/>
      <c r="I40" s="24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24"/>
      <c r="I41" s="24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24"/>
      <c r="I42" s="2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24"/>
      <c r="I43" s="24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24"/>
      <c r="I44" s="24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24"/>
      <c r="I45" s="24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24"/>
      <c r="I46" s="24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24"/>
      <c r="I47" s="24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24"/>
      <c r="I48" s="24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24"/>
      <c r="I49" s="24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24"/>
      <c r="I50" s="24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24"/>
      <c r="I51" s="24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24"/>
      <c r="I52" s="24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24"/>
      <c r="I53" s="24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24"/>
      <c r="I54" s="24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24"/>
      <c r="I55" s="24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24"/>
      <c r="I56" s="24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24"/>
      <c r="I57" s="24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24"/>
      <c r="I58" s="24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24"/>
      <c r="I59" s="24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24"/>
      <c r="I60" s="24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24"/>
      <c r="I61" s="24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24"/>
      <c r="I62" s="24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24"/>
      <c r="I63" s="24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24"/>
      <c r="I64" s="24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24"/>
      <c r="I65" s="24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24"/>
      <c r="I66" s="24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24"/>
      <c r="I67" s="24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24"/>
      <c r="I68" s="24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24"/>
      <c r="I69" s="24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24"/>
      <c r="I70" s="24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24"/>
      <c r="I71" s="24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24"/>
      <c r="I72" s="24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24"/>
      <c r="I73" s="24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24"/>
      <c r="I74" s="24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24"/>
      <c r="I75" s="24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24"/>
      <c r="I76" s="24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24"/>
      <c r="I77" s="24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24"/>
      <c r="I78" s="24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24"/>
      <c r="I79" s="24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24"/>
      <c r="I80" s="24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24"/>
      <c r="I81" s="24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24"/>
      <c r="I82" s="24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24"/>
      <c r="I83" s="24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24"/>
      <c r="I84" s="24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24"/>
      <c r="I85" s="24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24"/>
      <c r="I86" s="24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24"/>
      <c r="I87" s="24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24"/>
      <c r="I88" s="24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24"/>
      <c r="I89" s="24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24"/>
      <c r="I90" s="24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24"/>
      <c r="I91" s="24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24"/>
      <c r="I92" s="24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24"/>
      <c r="I93" s="24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24"/>
      <c r="I94" s="24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24"/>
      <c r="I95" s="24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24"/>
      <c r="I96" s="24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24"/>
      <c r="I97" s="24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24"/>
      <c r="I98" s="24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24"/>
      <c r="I99" s="24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24"/>
      <c r="I100" s="24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24"/>
      <c r="I101" s="24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24"/>
      <c r="I102" s="24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24"/>
      <c r="I103" s="24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24"/>
      <c r="I104" s="24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24"/>
      <c r="I105" s="24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24"/>
      <c r="I106" s="24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24"/>
      <c r="I107" s="24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24"/>
      <c r="I108" s="24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24"/>
      <c r="I109" s="24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24"/>
      <c r="I110" s="24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24"/>
      <c r="I111" s="24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24"/>
      <c r="I112" s="24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24"/>
      <c r="I113" s="24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24"/>
      <c r="I114" s="24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24"/>
      <c r="I115" s="24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24"/>
      <c r="I116" s="24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24"/>
      <c r="I117" s="24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24"/>
      <c r="I118" s="24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24"/>
      <c r="I119" s="24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24"/>
      <c r="I120" s="24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24"/>
      <c r="I121" s="24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24"/>
      <c r="I122" s="24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24"/>
      <c r="I123" s="24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24"/>
      <c r="I124" s="24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24"/>
      <c r="I125" s="24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24"/>
      <c r="I126" s="24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24"/>
      <c r="I127" s="24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24"/>
      <c r="I128" s="24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24"/>
      <c r="I129" s="24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24"/>
      <c r="I130" s="24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24"/>
      <c r="I131" s="24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24"/>
      <c r="I132" s="24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24"/>
      <c r="I133" s="24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24"/>
      <c r="I134" s="24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24"/>
      <c r="I135" s="24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24"/>
      <c r="I136" s="24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24"/>
      <c r="I137" s="24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24"/>
      <c r="I138" s="24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24"/>
      <c r="I139" s="24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24"/>
      <c r="I140" s="24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24"/>
      <c r="I141" s="24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24"/>
      <c r="I142" s="24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24"/>
      <c r="I143" s="24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24"/>
      <c r="I144" s="24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24"/>
      <c r="I145" s="24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24"/>
      <c r="I146" s="24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24"/>
      <c r="I147" s="24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24"/>
      <c r="I148" s="24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24"/>
      <c r="I149" s="24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24"/>
      <c r="I150" s="24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24"/>
      <c r="I151" s="24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24"/>
      <c r="I152" s="24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24"/>
      <c r="I153" s="24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24"/>
      <c r="I154" s="24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24"/>
      <c r="I155" s="24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24"/>
      <c r="I156" s="24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24"/>
      <c r="I157" s="24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24"/>
      <c r="I158" s="24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24"/>
      <c r="I159" s="24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24"/>
      <c r="I160" s="24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24"/>
      <c r="I161" s="24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24"/>
      <c r="I162" s="24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24"/>
      <c r="I163" s="24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24"/>
      <c r="I164" s="24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24"/>
      <c r="I165" s="24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24"/>
      <c r="I166" s="24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24"/>
      <c r="I167" s="24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24"/>
      <c r="I168" s="24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24"/>
      <c r="I169" s="24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24"/>
      <c r="I170" s="24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24"/>
      <c r="I171" s="24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24"/>
      <c r="I172" s="24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24"/>
      <c r="I173" s="24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24"/>
      <c r="I174" s="24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24"/>
      <c r="I175" s="24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24"/>
      <c r="I176" s="24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24"/>
      <c r="I177" s="24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24"/>
      <c r="I178" s="24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24"/>
      <c r="I179" s="24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24"/>
      <c r="I180" s="24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24"/>
      <c r="I181" s="24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24"/>
      <c r="I182" s="24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24"/>
      <c r="I183" s="24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24"/>
      <c r="I184" s="24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24"/>
      <c r="I185" s="24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24"/>
      <c r="I186" s="24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24"/>
      <c r="I187" s="24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24"/>
      <c r="I188" s="24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24"/>
      <c r="I189" s="24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24"/>
      <c r="I190" s="24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24"/>
      <c r="I191" s="24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24"/>
      <c r="I192" s="24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24"/>
      <c r="I193" s="24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24"/>
      <c r="I194" s="24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24"/>
      <c r="I195" s="24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24"/>
      <c r="I196" s="24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24"/>
      <c r="I197" s="24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24"/>
      <c r="I198" s="24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24"/>
      <c r="I199" s="24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24"/>
      <c r="I200" s="24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24"/>
      <c r="I201" s="24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24"/>
      <c r="I202" s="24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24"/>
      <c r="I203" s="24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24"/>
      <c r="I204" s="24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24"/>
      <c r="I205" s="24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24"/>
      <c r="I206" s="24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24"/>
      <c r="I207" s="24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24"/>
      <c r="I208" s="24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24"/>
      <c r="I209" s="24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24"/>
      <c r="I210" s="24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24"/>
      <c r="I211" s="24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24"/>
      <c r="I212" s="24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24"/>
      <c r="I213" s="24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24"/>
      <c r="I214" s="24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24"/>
      <c r="I215" s="24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24"/>
      <c r="I216" s="24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24"/>
      <c r="I217" s="24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24"/>
      <c r="I218" s="24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24"/>
      <c r="I219" s="24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24"/>
      <c r="I220" s="24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24"/>
      <c r="I221" s="24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24"/>
      <c r="I222" s="24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24"/>
      <c r="I223" s="24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24"/>
      <c r="I224" s="24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24"/>
      <c r="I225" s="24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24"/>
      <c r="I226" s="24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24"/>
      <c r="I227" s="24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24"/>
      <c r="I228" s="24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24"/>
      <c r="I229" s="24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24"/>
      <c r="I230" s="24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24"/>
      <c r="I231" s="24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24"/>
      <c r="I232" s="24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24"/>
      <c r="I233" s="24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24"/>
      <c r="I234" s="24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24"/>
      <c r="I235" s="24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24"/>
      <c r="I236" s="24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24"/>
      <c r="I237" s="24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24"/>
      <c r="I238" s="24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24"/>
      <c r="I239" s="24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24"/>
      <c r="I240" s="24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24"/>
      <c r="I241" s="24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24"/>
      <c r="I242" s="24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24"/>
      <c r="I243" s="24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24"/>
      <c r="I244" s="24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24"/>
      <c r="I245" s="24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24"/>
      <c r="I246" s="24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24"/>
      <c r="I247" s="24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24"/>
      <c r="I248" s="24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24"/>
      <c r="I249" s="24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24"/>
      <c r="I250" s="24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24"/>
      <c r="I251" s="24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24"/>
      <c r="I252" s="24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24"/>
      <c r="I253" s="24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24"/>
      <c r="I254" s="24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24"/>
      <c r="I255" s="24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24"/>
      <c r="I256" s="24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24"/>
      <c r="I257" s="24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24"/>
      <c r="I258" s="24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24"/>
      <c r="I259" s="24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24"/>
      <c r="I260" s="24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24"/>
      <c r="I261" s="24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24"/>
      <c r="I262" s="24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24"/>
      <c r="I263" s="24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24"/>
      <c r="I264" s="24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24"/>
      <c r="I265" s="24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24"/>
      <c r="I266" s="24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24"/>
      <c r="I267" s="24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24"/>
      <c r="I268" s="24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24"/>
      <c r="I269" s="24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24"/>
      <c r="I270" s="24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24"/>
      <c r="I271" s="24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24"/>
      <c r="I272" s="24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24"/>
      <c r="I273" s="24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24"/>
      <c r="I274" s="24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24"/>
      <c r="I275" s="24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24"/>
      <c r="I276" s="24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24"/>
      <c r="I277" s="24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24"/>
      <c r="I278" s="24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24"/>
      <c r="I279" s="24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24"/>
      <c r="I280" s="24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24"/>
      <c r="I281" s="24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24"/>
      <c r="I282" s="24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24"/>
      <c r="I283" s="24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24"/>
      <c r="I284" s="24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24"/>
      <c r="I285" s="24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24"/>
      <c r="I286" s="24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24"/>
      <c r="I287" s="24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24"/>
      <c r="I288" s="24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24"/>
      <c r="I289" s="24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24"/>
      <c r="I290" s="24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24"/>
      <c r="I291" s="24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24"/>
      <c r="I292" s="24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24"/>
      <c r="I293" s="24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24"/>
      <c r="I294" s="24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24"/>
      <c r="I295" s="24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24"/>
      <c r="I296" s="24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24"/>
      <c r="I297" s="24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24"/>
      <c r="I298" s="24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24"/>
      <c r="I299" s="24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24"/>
      <c r="I300" s="24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24"/>
      <c r="I301" s="24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24"/>
      <c r="I302" s="24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24"/>
      <c r="I303" s="24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24"/>
      <c r="I304" s="24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24"/>
      <c r="I305" s="24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24"/>
      <c r="I306" s="24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24"/>
      <c r="I307" s="24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24"/>
      <c r="I308" s="24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24"/>
      <c r="I309" s="24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24"/>
      <c r="I310" s="24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24"/>
      <c r="I311" s="24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24"/>
      <c r="I312" s="24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24"/>
      <c r="I313" s="24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24"/>
      <c r="I314" s="24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24"/>
      <c r="I315" s="24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24"/>
      <c r="I316" s="24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24"/>
      <c r="I317" s="24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24"/>
      <c r="I318" s="24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24"/>
      <c r="I319" s="24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24"/>
      <c r="I320" s="24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24"/>
      <c r="I321" s="24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24"/>
      <c r="I322" s="24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24"/>
      <c r="I323" s="24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24"/>
      <c r="I324" s="24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24"/>
      <c r="I325" s="24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24"/>
      <c r="I326" s="24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24"/>
      <c r="I327" s="24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24"/>
      <c r="I328" s="24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24"/>
      <c r="I329" s="24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24"/>
      <c r="I330" s="24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24"/>
      <c r="I331" s="24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24"/>
      <c r="I332" s="24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24"/>
      <c r="I333" s="24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24"/>
      <c r="I334" s="24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24"/>
      <c r="I335" s="24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24"/>
      <c r="I336" s="24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24"/>
      <c r="I337" s="24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24"/>
      <c r="I338" s="24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24"/>
      <c r="I339" s="24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24"/>
      <c r="I340" s="24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24"/>
      <c r="I341" s="24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24"/>
      <c r="I342" s="24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24"/>
      <c r="I343" s="24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24"/>
      <c r="I344" s="24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24"/>
      <c r="I345" s="24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24"/>
      <c r="I346" s="24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24"/>
      <c r="I347" s="24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24"/>
      <c r="I348" s="24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24"/>
      <c r="I349" s="24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24"/>
      <c r="I350" s="24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24"/>
      <c r="I351" s="24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24"/>
      <c r="I352" s="24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24"/>
      <c r="I353" s="24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24"/>
      <c r="I354" s="24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24"/>
      <c r="I355" s="24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24"/>
      <c r="I356" s="24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24"/>
      <c r="I357" s="24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24"/>
      <c r="I358" s="24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24"/>
      <c r="I359" s="24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24"/>
      <c r="I360" s="24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24"/>
      <c r="I361" s="24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24"/>
      <c r="I362" s="24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24"/>
      <c r="I363" s="24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24"/>
      <c r="I364" s="24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24"/>
      <c r="I365" s="24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24"/>
      <c r="I366" s="24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24"/>
      <c r="I367" s="24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24"/>
      <c r="I368" s="24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24"/>
      <c r="I369" s="24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24"/>
      <c r="I370" s="24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24"/>
      <c r="I371" s="24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24"/>
      <c r="I372" s="24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24"/>
      <c r="I373" s="24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24"/>
      <c r="I374" s="24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24"/>
      <c r="I375" s="24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24"/>
      <c r="I376" s="24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24"/>
      <c r="I377" s="24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24"/>
      <c r="I378" s="24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24"/>
      <c r="I379" s="24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24"/>
      <c r="I380" s="24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24"/>
      <c r="I381" s="24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24"/>
      <c r="I382" s="24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24"/>
      <c r="I383" s="24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24"/>
      <c r="I384" s="24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24"/>
      <c r="I385" s="24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24"/>
      <c r="I386" s="24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24"/>
      <c r="I387" s="24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24"/>
      <c r="I388" s="24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24"/>
      <c r="I389" s="24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24"/>
      <c r="I390" s="24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24"/>
      <c r="I391" s="24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24"/>
      <c r="I392" s="24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24"/>
      <c r="I393" s="24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24"/>
      <c r="I394" s="24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24"/>
      <c r="I395" s="24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24"/>
      <c r="I396" s="24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24"/>
      <c r="I397" s="24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24"/>
      <c r="I398" s="24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24"/>
      <c r="I399" s="24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24"/>
      <c r="I400" s="24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24"/>
      <c r="I401" s="24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24"/>
      <c r="I402" s="24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24"/>
      <c r="I403" s="24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24"/>
      <c r="I404" s="24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24"/>
      <c r="I405" s="24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24"/>
      <c r="I406" s="24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24"/>
      <c r="I407" s="24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24"/>
      <c r="I408" s="24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24"/>
      <c r="I409" s="24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24"/>
      <c r="I410" s="24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24"/>
      <c r="I411" s="24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24"/>
      <c r="I412" s="24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24"/>
      <c r="I413" s="24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24"/>
      <c r="I414" s="24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24"/>
      <c r="I415" s="24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24"/>
      <c r="I416" s="24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24"/>
      <c r="I417" s="24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24"/>
      <c r="I418" s="24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24"/>
      <c r="I419" s="24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24"/>
      <c r="I420" s="24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24"/>
      <c r="I421" s="24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24"/>
      <c r="I422" s="24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24"/>
      <c r="I423" s="24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24"/>
      <c r="I424" s="24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24"/>
      <c r="I425" s="24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24"/>
      <c r="I426" s="24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24"/>
      <c r="I427" s="24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24"/>
      <c r="I428" s="24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24"/>
      <c r="I429" s="24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24"/>
      <c r="I430" s="24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24"/>
      <c r="I431" s="24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24"/>
      <c r="I432" s="24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24"/>
      <c r="I433" s="24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24"/>
      <c r="I434" s="24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24"/>
      <c r="I435" s="24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24"/>
      <c r="I436" s="24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24"/>
      <c r="I437" s="24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24"/>
      <c r="I438" s="24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24"/>
      <c r="I439" s="24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24"/>
      <c r="I440" s="24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24"/>
      <c r="I441" s="24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24"/>
      <c r="I442" s="24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24"/>
      <c r="I443" s="24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24"/>
      <c r="I444" s="24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24"/>
      <c r="I445" s="24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24"/>
      <c r="I446" s="24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24"/>
      <c r="I447" s="24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24"/>
      <c r="I448" s="24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24"/>
      <c r="I449" s="24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24"/>
      <c r="I450" s="24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24"/>
      <c r="I451" s="24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24"/>
      <c r="I452" s="24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24"/>
      <c r="I453" s="24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24"/>
      <c r="I454" s="24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24"/>
      <c r="I455" s="24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24"/>
      <c r="I456" s="24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24"/>
      <c r="I457" s="24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24"/>
      <c r="I458" s="24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24"/>
      <c r="I459" s="24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24"/>
      <c r="I460" s="24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24"/>
      <c r="I461" s="24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24"/>
      <c r="I462" s="24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24"/>
      <c r="I463" s="24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24"/>
      <c r="I464" s="24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24"/>
      <c r="I465" s="24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24"/>
      <c r="I466" s="24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24"/>
      <c r="I467" s="24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24"/>
      <c r="I468" s="24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24"/>
      <c r="I469" s="24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24"/>
      <c r="I470" s="24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24"/>
      <c r="I471" s="24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24"/>
      <c r="I472" s="24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24"/>
      <c r="I473" s="24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24"/>
      <c r="I474" s="24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24"/>
      <c r="I475" s="24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24"/>
      <c r="I476" s="24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24"/>
      <c r="I477" s="24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24"/>
      <c r="I478" s="24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24"/>
      <c r="I479" s="24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24"/>
      <c r="I480" s="24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24"/>
      <c r="I481" s="24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24"/>
      <c r="I482" s="24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24"/>
      <c r="I483" s="24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24"/>
      <c r="I484" s="24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24"/>
      <c r="I485" s="24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24"/>
      <c r="I486" s="24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24"/>
      <c r="I487" s="24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24"/>
      <c r="I488" s="24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24"/>
      <c r="I489" s="24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24"/>
      <c r="I490" s="24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24"/>
      <c r="I491" s="24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24"/>
      <c r="I492" s="24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24"/>
      <c r="I493" s="24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24"/>
      <c r="I494" s="24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24"/>
      <c r="I495" s="24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24"/>
      <c r="I496" s="24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24"/>
      <c r="I497" s="24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24"/>
      <c r="I498" s="24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24"/>
      <c r="I499" s="24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24"/>
      <c r="I500" s="24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24"/>
      <c r="I501" s="24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24"/>
      <c r="I502" s="24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24"/>
      <c r="I503" s="24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24"/>
      <c r="I504" s="24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24"/>
      <c r="I505" s="24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24"/>
      <c r="I506" s="24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24"/>
      <c r="I507" s="24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24"/>
      <c r="I508" s="24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24"/>
      <c r="I509" s="24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24"/>
      <c r="I510" s="24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24"/>
      <c r="I511" s="24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24"/>
      <c r="I512" s="24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24"/>
      <c r="I513" s="24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24"/>
      <c r="I514" s="24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24"/>
      <c r="I515" s="24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24"/>
      <c r="I516" s="24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24"/>
      <c r="I517" s="24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24"/>
      <c r="I518" s="24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24"/>
      <c r="I519" s="24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24"/>
      <c r="I520" s="24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24"/>
      <c r="I521" s="24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24"/>
      <c r="I522" s="24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24"/>
      <c r="I523" s="24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24"/>
      <c r="I524" s="24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24"/>
      <c r="I525" s="24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24"/>
      <c r="I526" s="24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24"/>
      <c r="I527" s="24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24"/>
      <c r="I528" s="24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24"/>
      <c r="I529" s="24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24"/>
      <c r="I530" s="24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24"/>
      <c r="I531" s="24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24"/>
      <c r="I532" s="24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24"/>
      <c r="I533" s="24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24"/>
      <c r="I534" s="24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24"/>
      <c r="I535" s="24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24"/>
      <c r="I536" s="24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24"/>
      <c r="I537" s="24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24"/>
      <c r="I538" s="24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24"/>
      <c r="I539" s="24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24"/>
      <c r="I540" s="24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24"/>
      <c r="I541" s="24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24"/>
      <c r="I542" s="24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24"/>
      <c r="I543" s="24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24"/>
      <c r="I544" s="24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24"/>
      <c r="I545" s="24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24"/>
      <c r="I546" s="24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24"/>
      <c r="I547" s="24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24"/>
      <c r="I548" s="24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24"/>
      <c r="I549" s="24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24"/>
      <c r="I550" s="24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24"/>
      <c r="I551" s="24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24"/>
      <c r="I552" s="24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24"/>
      <c r="I553" s="24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24"/>
      <c r="I554" s="24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24"/>
      <c r="I555" s="24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24"/>
      <c r="I556" s="24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24"/>
      <c r="I557" s="24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24"/>
      <c r="I558" s="24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24"/>
      <c r="I559" s="24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24"/>
      <c r="I560" s="24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24"/>
      <c r="I561" s="24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24"/>
      <c r="I562" s="24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24"/>
      <c r="I563" s="24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24"/>
      <c r="I564" s="24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24"/>
      <c r="I565" s="24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24"/>
      <c r="I566" s="24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24"/>
      <c r="I567" s="24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24"/>
      <c r="I568" s="24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24"/>
      <c r="I569" s="24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24"/>
      <c r="I570" s="24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24"/>
      <c r="I571" s="24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24"/>
      <c r="I572" s="24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24"/>
      <c r="I573" s="24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24"/>
      <c r="I574" s="24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24"/>
      <c r="I575" s="24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24"/>
      <c r="I576" s="24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24"/>
      <c r="I577" s="24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24"/>
      <c r="I578" s="24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24"/>
      <c r="I579" s="24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24"/>
      <c r="I580" s="24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24"/>
      <c r="I581" s="24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24"/>
      <c r="I582" s="24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24"/>
      <c r="I583" s="24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24"/>
      <c r="I584" s="24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24"/>
      <c r="I585" s="24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24"/>
      <c r="I586" s="24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24"/>
      <c r="I587" s="24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24"/>
      <c r="I588" s="24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24"/>
      <c r="I589" s="24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24"/>
      <c r="I590" s="24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24"/>
      <c r="I591" s="24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24"/>
      <c r="I592" s="24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24"/>
      <c r="I593" s="24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24"/>
      <c r="I594" s="24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24"/>
      <c r="I595" s="24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24"/>
      <c r="I596" s="24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24"/>
      <c r="I597" s="24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24"/>
      <c r="I598" s="24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24"/>
      <c r="I599" s="24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24"/>
      <c r="I600" s="24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24"/>
      <c r="I601" s="24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24"/>
      <c r="I602" s="24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24"/>
      <c r="I603" s="24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24"/>
      <c r="I604" s="24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24"/>
      <c r="I605" s="24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24"/>
      <c r="I606" s="24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24"/>
      <c r="I607" s="24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24"/>
      <c r="I608" s="24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24"/>
      <c r="I609" s="24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24"/>
      <c r="I610" s="24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24"/>
      <c r="I611" s="24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24"/>
      <c r="I612" s="24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24"/>
      <c r="I613" s="24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24"/>
      <c r="I614" s="24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24"/>
      <c r="I615" s="24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24"/>
      <c r="I616" s="24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24"/>
      <c r="I617" s="24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24"/>
      <c r="I618" s="24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24"/>
      <c r="I619" s="24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24"/>
      <c r="I620" s="24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24"/>
      <c r="I621" s="24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24"/>
      <c r="I622" s="24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24"/>
      <c r="I623" s="24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24"/>
      <c r="I624" s="24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24"/>
      <c r="I625" s="24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24"/>
      <c r="I626" s="24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24"/>
      <c r="I627" s="24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24"/>
      <c r="I628" s="24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24"/>
      <c r="I629" s="24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24"/>
      <c r="I630" s="24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24"/>
      <c r="I631" s="24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24"/>
      <c r="I632" s="24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24"/>
      <c r="I633" s="24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24"/>
      <c r="I634" s="24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24"/>
      <c r="I635" s="24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24"/>
      <c r="I636" s="24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24"/>
      <c r="I637" s="24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24"/>
      <c r="I638" s="24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24"/>
      <c r="I639" s="24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24"/>
      <c r="I640" s="24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24"/>
      <c r="I641" s="24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24"/>
      <c r="I642" s="24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24"/>
      <c r="I643" s="24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24"/>
      <c r="I644" s="24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24"/>
      <c r="I645" s="24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24"/>
      <c r="I646" s="24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24"/>
      <c r="I647" s="24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24"/>
      <c r="I648" s="24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24"/>
      <c r="I649" s="24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24"/>
      <c r="I650" s="24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24"/>
      <c r="I651" s="24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24"/>
      <c r="I652" s="24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24"/>
      <c r="I653" s="24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24"/>
      <c r="I654" s="24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24"/>
      <c r="I655" s="24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24"/>
      <c r="I656" s="24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24"/>
      <c r="I657" s="24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24"/>
      <c r="I658" s="24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24"/>
      <c r="I659" s="24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24"/>
      <c r="I660" s="24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24"/>
      <c r="I661" s="24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24"/>
      <c r="I662" s="24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24"/>
      <c r="I663" s="24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24"/>
      <c r="I664" s="24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24"/>
      <c r="I665" s="24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24"/>
      <c r="I666" s="24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24"/>
      <c r="I667" s="24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24"/>
      <c r="I668" s="24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24"/>
      <c r="I669" s="24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24"/>
      <c r="I670" s="24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24"/>
      <c r="I671" s="24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24"/>
      <c r="I672" s="24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24"/>
      <c r="I673" s="24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24"/>
      <c r="I674" s="24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24"/>
      <c r="I675" s="24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24"/>
      <c r="I676" s="24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24"/>
      <c r="I677" s="24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24"/>
      <c r="I678" s="24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24"/>
      <c r="I679" s="24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24"/>
      <c r="I680" s="24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24"/>
      <c r="I681" s="24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24"/>
      <c r="I682" s="24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24"/>
      <c r="I683" s="24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24"/>
      <c r="I684" s="24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24"/>
      <c r="I685" s="24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24"/>
      <c r="I686" s="24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24"/>
      <c r="I687" s="24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24"/>
      <c r="I688" s="24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24"/>
      <c r="I689" s="24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24"/>
      <c r="I690" s="24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24"/>
      <c r="I691" s="24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24"/>
      <c r="I692" s="24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24"/>
      <c r="I693" s="24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24"/>
      <c r="I694" s="24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24"/>
      <c r="I695" s="24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24"/>
      <c r="I696" s="24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24"/>
      <c r="I697" s="24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24"/>
      <c r="I698" s="24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24"/>
      <c r="I699" s="24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24"/>
      <c r="I700" s="24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24"/>
      <c r="I701" s="24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24"/>
      <c r="I702" s="24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24"/>
      <c r="I703" s="24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24"/>
      <c r="I704" s="24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24"/>
      <c r="I705" s="24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24"/>
      <c r="I706" s="24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24"/>
      <c r="I707" s="24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24"/>
      <c r="I708" s="24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24"/>
      <c r="I709" s="24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24"/>
      <c r="I710" s="24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24"/>
      <c r="I711" s="24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24"/>
      <c r="I712" s="24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24"/>
      <c r="I713" s="24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24"/>
      <c r="I714" s="24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24"/>
      <c r="I715" s="24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24"/>
      <c r="I716" s="24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24"/>
      <c r="I717" s="24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24"/>
      <c r="I718" s="24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24"/>
      <c r="I719" s="24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24"/>
      <c r="I720" s="24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24"/>
      <c r="I721" s="24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24"/>
      <c r="I722" s="24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24"/>
      <c r="I723" s="24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24"/>
      <c r="I724" s="24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24"/>
      <c r="I725" s="24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24"/>
      <c r="I726" s="24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24"/>
      <c r="I727" s="24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24"/>
      <c r="I728" s="24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24"/>
      <c r="I729" s="24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24"/>
      <c r="I730" s="24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24"/>
      <c r="I731" s="24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24"/>
      <c r="I732" s="24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24"/>
      <c r="I733" s="24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24"/>
      <c r="I734" s="24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24"/>
      <c r="I735" s="24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24"/>
      <c r="I736" s="24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24"/>
      <c r="I737" s="24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24"/>
      <c r="I738" s="24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24"/>
      <c r="I739" s="24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24"/>
      <c r="I740" s="24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24"/>
      <c r="I741" s="24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24"/>
      <c r="I742" s="24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24"/>
      <c r="I743" s="24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24"/>
      <c r="I744" s="24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24"/>
      <c r="I745" s="24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24"/>
      <c r="I746" s="24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24"/>
      <c r="I747" s="24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24"/>
      <c r="I748" s="24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24"/>
      <c r="I749" s="24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24"/>
      <c r="I750" s="24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24"/>
      <c r="I751" s="24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24"/>
      <c r="I752" s="24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24"/>
      <c r="I753" s="24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24"/>
      <c r="I754" s="24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24"/>
      <c r="I755" s="24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24"/>
      <c r="I756" s="24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24"/>
      <c r="I757" s="24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24"/>
      <c r="I758" s="24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24"/>
      <c r="I759" s="24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24"/>
      <c r="I760" s="24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24"/>
      <c r="I761" s="24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24"/>
      <c r="I762" s="24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24"/>
      <c r="I763" s="24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24"/>
      <c r="I764" s="24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24"/>
      <c r="I765" s="24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24"/>
      <c r="I766" s="24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24"/>
      <c r="I767" s="24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24"/>
      <c r="I768" s="24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24"/>
      <c r="I769" s="24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24"/>
      <c r="I770" s="24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24"/>
      <c r="I771" s="24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24"/>
      <c r="I772" s="24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24"/>
      <c r="I773" s="24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24"/>
      <c r="I774" s="24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24"/>
      <c r="I775" s="24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24"/>
      <c r="I776" s="24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24"/>
      <c r="I777" s="24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24"/>
      <c r="I778" s="24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24"/>
      <c r="I779" s="24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24"/>
      <c r="I780" s="24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24"/>
      <c r="I781" s="24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24"/>
      <c r="I782" s="24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24"/>
      <c r="I783" s="24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24"/>
      <c r="I784" s="24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24"/>
      <c r="I785" s="24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24"/>
      <c r="I786" s="24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24"/>
      <c r="I787" s="24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24"/>
      <c r="I788" s="24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24"/>
      <c r="I789" s="24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24"/>
      <c r="I790" s="24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24"/>
      <c r="I791" s="24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24"/>
      <c r="I792" s="24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24"/>
      <c r="I793" s="24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24"/>
      <c r="I794" s="24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24"/>
      <c r="I795" s="24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24"/>
      <c r="I796" s="24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24"/>
      <c r="I797" s="24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24"/>
      <c r="I798" s="24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24"/>
      <c r="I799" s="24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24"/>
      <c r="I800" s="24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24"/>
      <c r="I801" s="24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24"/>
      <c r="I802" s="24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24"/>
      <c r="I803" s="24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24"/>
      <c r="I804" s="24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24"/>
      <c r="I805" s="24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24"/>
      <c r="I806" s="24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24"/>
      <c r="I807" s="24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24"/>
      <c r="I808" s="24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24"/>
      <c r="I809" s="24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24"/>
      <c r="I810" s="24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24"/>
      <c r="I811" s="24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24"/>
      <c r="I812" s="24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24"/>
      <c r="I813" s="24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24"/>
      <c r="I814" s="24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24"/>
      <c r="I815" s="24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24"/>
      <c r="I816" s="24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24"/>
      <c r="I817" s="24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24"/>
      <c r="I818" s="24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24"/>
      <c r="I819" s="24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24"/>
      <c r="I820" s="24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24"/>
      <c r="I821" s="24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24"/>
      <c r="I822" s="24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24"/>
      <c r="I823" s="24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24"/>
      <c r="I824" s="24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24"/>
      <c r="I825" s="24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24"/>
      <c r="I826" s="24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24"/>
      <c r="I827" s="24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24"/>
      <c r="I828" s="24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24"/>
      <c r="I829" s="24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24"/>
      <c r="I830" s="24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24"/>
      <c r="I831" s="24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24"/>
      <c r="I832" s="24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24"/>
      <c r="I833" s="24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24"/>
      <c r="I834" s="24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24"/>
      <c r="I835" s="24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24"/>
      <c r="I836" s="24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24"/>
      <c r="I837" s="24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24"/>
      <c r="I838" s="24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24"/>
      <c r="I839" s="24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24"/>
      <c r="I840" s="24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24"/>
      <c r="I841" s="24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24"/>
      <c r="I842" s="24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24"/>
      <c r="I843" s="24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24"/>
      <c r="I844" s="24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24"/>
      <c r="I845" s="24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24"/>
      <c r="I846" s="24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24"/>
      <c r="I847" s="24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24"/>
      <c r="I848" s="24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24"/>
      <c r="I849" s="24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24"/>
      <c r="I850" s="24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24"/>
      <c r="I851" s="24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24"/>
      <c r="I852" s="24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24"/>
      <c r="I853" s="24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24"/>
      <c r="I854" s="24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24"/>
      <c r="I855" s="24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24"/>
      <c r="I856" s="24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24"/>
      <c r="I857" s="24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24"/>
      <c r="I858" s="24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24"/>
      <c r="I859" s="24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24"/>
      <c r="I860" s="24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24"/>
      <c r="I861" s="24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24"/>
      <c r="I862" s="24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24"/>
      <c r="I863" s="24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24"/>
      <c r="I864" s="24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24"/>
      <c r="I865" s="24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24"/>
      <c r="I866" s="24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24"/>
      <c r="I867" s="24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24"/>
      <c r="I868" s="24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24"/>
      <c r="I869" s="24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24"/>
      <c r="I870" s="24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24"/>
      <c r="I871" s="24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24"/>
      <c r="I872" s="24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24"/>
      <c r="I873" s="24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24"/>
      <c r="I874" s="24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24"/>
      <c r="I875" s="24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24"/>
      <c r="I876" s="24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24"/>
      <c r="I877" s="24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24"/>
      <c r="I878" s="24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24"/>
      <c r="I879" s="24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24"/>
      <c r="I880" s="24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24"/>
      <c r="I881" s="24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24"/>
      <c r="I882" s="24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24"/>
      <c r="I883" s="24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24"/>
      <c r="I884" s="24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24"/>
      <c r="I885" s="24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24"/>
      <c r="I886" s="24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24"/>
      <c r="I887" s="24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24"/>
      <c r="I888" s="24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24"/>
      <c r="I889" s="24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24"/>
      <c r="I890" s="24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24"/>
      <c r="I891" s="24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24"/>
      <c r="I892" s="24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24"/>
      <c r="I893" s="24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24"/>
      <c r="I894" s="24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24"/>
      <c r="I895" s="24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24"/>
      <c r="I896" s="24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24"/>
      <c r="I897" s="24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24"/>
      <c r="I898" s="24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24"/>
      <c r="I899" s="24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24"/>
      <c r="I900" s="24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24"/>
      <c r="I901" s="24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24"/>
      <c r="I902" s="24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24"/>
      <c r="I903" s="24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24"/>
      <c r="I904" s="24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24"/>
      <c r="I905" s="24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24"/>
      <c r="I906" s="24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24"/>
      <c r="I907" s="24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24"/>
      <c r="I908" s="24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24"/>
      <c r="I909" s="24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24"/>
      <c r="I910" s="24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24"/>
      <c r="I911" s="24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24"/>
      <c r="I912" s="24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24"/>
      <c r="I913" s="24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24"/>
      <c r="I914" s="24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24"/>
      <c r="I915" s="24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24"/>
      <c r="I916" s="24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24"/>
      <c r="I917" s="24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24"/>
      <c r="I918" s="24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24"/>
      <c r="I919" s="24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24"/>
      <c r="I920" s="24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24"/>
      <c r="I921" s="24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24"/>
      <c r="I922" s="24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24"/>
      <c r="I923" s="24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24"/>
      <c r="I924" s="24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24"/>
      <c r="I925" s="24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24"/>
      <c r="I926" s="24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24"/>
      <c r="I927" s="24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24"/>
      <c r="I928" s="24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24"/>
      <c r="I929" s="24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24"/>
      <c r="I930" s="24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24"/>
      <c r="I931" s="24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24"/>
      <c r="I932" s="24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24"/>
      <c r="I933" s="24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24"/>
      <c r="I934" s="24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24"/>
      <c r="I935" s="24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24"/>
      <c r="I936" s="24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24"/>
      <c r="I937" s="24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24"/>
      <c r="I938" s="24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24"/>
      <c r="I939" s="24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24"/>
      <c r="I940" s="24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24"/>
      <c r="I941" s="24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24"/>
      <c r="I942" s="24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24"/>
      <c r="I943" s="24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24"/>
      <c r="I944" s="24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24"/>
      <c r="I945" s="24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24"/>
      <c r="I946" s="24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24"/>
      <c r="I947" s="24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24"/>
      <c r="I948" s="24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24"/>
      <c r="I949" s="24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24"/>
      <c r="I950" s="24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24"/>
      <c r="I951" s="24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24"/>
      <c r="I952" s="24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24"/>
      <c r="I953" s="24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24"/>
      <c r="I954" s="24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24"/>
      <c r="I955" s="24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24"/>
      <c r="I956" s="24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24"/>
      <c r="I957" s="24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24"/>
      <c r="I958" s="24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24"/>
      <c r="I959" s="24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24"/>
      <c r="I960" s="24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24"/>
      <c r="I961" s="24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24"/>
      <c r="I962" s="24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24"/>
      <c r="I963" s="24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24"/>
      <c r="I964" s="24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24"/>
      <c r="I965" s="24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24"/>
      <c r="I966" s="24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24"/>
      <c r="I967" s="24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24"/>
      <c r="I968" s="24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24"/>
      <c r="I969" s="24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24"/>
      <c r="I970" s="24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24"/>
      <c r="I971" s="24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24"/>
      <c r="I972" s="24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